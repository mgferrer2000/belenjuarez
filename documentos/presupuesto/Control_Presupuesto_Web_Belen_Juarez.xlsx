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Partidas" sheetId="2" state="visible" r:id="rId2"/>
    <sheet xmlns:r="http://schemas.openxmlformats.org/officeDocument/2006/relationships" name="Cobr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 [$€-es-ES]"/>
  </numFmts>
  <fonts count="5">
    <font>
      <name val="Calibri"/>
      <family val="2"/>
      <color theme="1"/>
      <sz val="11"/>
      <scheme val="minor"/>
    </font>
    <font>
      <b val="1"/>
      <color rgb="002A2623"/>
    </font>
    <font>
      <name val="Times New Roman"/>
      <b val="1"/>
      <color rgb="002A2623"/>
      <sz val="16"/>
    </font>
    <font>
      <i val="1"/>
      <color rgb="008B4A4A"/>
    </font>
    <font>
      <b val="1"/>
      <color rgb="008B4A4A"/>
    </font>
  </fonts>
  <fills count="3">
    <fill>
      <patternFill/>
    </fill>
    <fill>
      <patternFill patternType="gray125"/>
    </fill>
    <fill>
      <patternFill patternType="solid">
        <fgColor rgb="00F5F1EB"/>
      </patternFill>
    </fill>
  </fills>
  <borders count="2">
    <border>
      <left/>
      <right/>
      <top/>
      <bottom/>
      <diagonal/>
    </border>
    <border>
      <bottom style="thin">
        <color rgb="00D9D0C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2" fillId="2" borderId="1" applyAlignment="1" pivotButton="0" quotePrefix="0" xfId="0">
      <alignment vertical="top" wrapText="1"/>
    </xf>
    <xf numFmtId="0" fontId="1" fillId="2" borderId="1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0" fontId="4" fillId="2" borderId="0" applyAlignment="1" pivotButton="0" quotePrefix="0" xfId="0">
      <alignment vertical="top" wrapText="1"/>
    </xf>
    <xf numFmtId="164" fontId="4" fillId="2" borderId="0" applyAlignment="1" pivotButton="0" quotePrefix="0" xfId="0">
      <alignment vertical="top" wrapText="1"/>
    </xf>
    <xf numFmtId="9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2" customWidth="1" min="2" max="2"/>
  </cols>
  <sheetData>
    <row r="1">
      <c r="A1" s="1" t="inlineStr">
        <is>
          <t>CONTROL ECONÓMICO DEL PROYECTO</t>
        </is>
      </c>
      <c r="B1" s="2" t="n"/>
    </row>
    <row r="2">
      <c r="A2" s="3" t="inlineStr">
        <is>
          <t>Web de autora y archivo editorial-artístico</t>
        </is>
      </c>
      <c r="B2" s="4" t="n"/>
    </row>
    <row r="3">
      <c r="A3" s="4" t="n"/>
      <c r="B3" s="4" t="n"/>
    </row>
    <row r="4">
      <c r="A4" s="4" t="inlineStr">
        <is>
          <t>Cliente</t>
        </is>
      </c>
      <c r="B4" s="4" t="inlineStr">
        <is>
          <t>Belén Juárez</t>
        </is>
      </c>
    </row>
    <row r="5">
      <c r="A5" s="4" t="inlineStr">
        <is>
          <t>Fecha</t>
        </is>
      </c>
      <c r="B5" s="4" t="inlineStr">
        <is>
          <t>11/03/2026</t>
        </is>
      </c>
    </row>
    <row r="6">
      <c r="A6" s="4" t="n"/>
      <c r="B6" s="4" t="n"/>
    </row>
    <row r="7">
      <c r="A7" s="5" t="inlineStr">
        <is>
          <t>Base imponible</t>
        </is>
      </c>
      <c r="B7" s="6" t="n">
        <v>12150</v>
      </c>
    </row>
    <row r="8">
      <c r="A8" s="5" t="inlineStr">
        <is>
          <t>IVA (21%)</t>
        </is>
      </c>
      <c r="B8" s="6">
        <f>B7*21%</f>
        <v/>
      </c>
    </row>
    <row r="9">
      <c r="A9" s="7" t="inlineStr">
        <is>
          <t>TOTAL PRESUPUESTO</t>
        </is>
      </c>
      <c r="B9" s="8">
        <f>B7+B8</f>
        <v/>
      </c>
    </row>
    <row r="10">
      <c r="A10" s="4" t="n"/>
      <c r="B10" s="4" t="n"/>
    </row>
    <row r="11">
      <c r="A11" s="5" t="inlineStr">
        <is>
          <t>Cobrado</t>
        </is>
      </c>
      <c r="B11" s="6" t="n">
        <v>0</v>
      </c>
    </row>
    <row r="12">
      <c r="A12" s="5" t="inlineStr">
        <is>
          <t>Pendiente</t>
        </is>
      </c>
      <c r="B12" s="6">
        <f>B9-B11</f>
        <v/>
      </c>
    </row>
    <row r="13">
      <c r="A13" s="4" t="n"/>
      <c r="B13" s="4" t="n"/>
    </row>
    <row r="14">
      <c r="A14" s="4" t="inlineStr">
        <is>
          <t>Observaciones</t>
        </is>
      </c>
      <c r="B14" s="4" t="inlineStr">
        <is>
          <t>Actualizar partidas y cobros conforme avance el proyecto.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6" customWidth="1" min="1" max="1"/>
    <col width="10" customWidth="1" min="2" max="2"/>
    <col width="12" customWidth="1" min="3" max="3"/>
    <col width="14" customWidth="1" min="4" max="4"/>
    <col width="16" customWidth="1" min="5" max="5"/>
    <col width="28" customWidth="1" min="6" max="6"/>
  </cols>
  <sheetData>
    <row r="1">
      <c r="A1" s="2" t="inlineStr">
        <is>
          <t>Partida</t>
        </is>
      </c>
      <c r="B1" s="2" t="inlineStr">
        <is>
          <t>Horas</t>
        </is>
      </c>
      <c r="C1" s="2" t="inlineStr">
        <is>
          <t>Tarifa €/h</t>
        </is>
      </c>
      <c r="D1" s="2" t="inlineStr">
        <is>
          <t>Importe €</t>
        </is>
      </c>
      <c r="E1" s="2" t="inlineStr">
        <is>
          <t>Estado</t>
        </is>
      </c>
      <c r="F1" s="2" t="inlineStr">
        <is>
          <t>Observaciones</t>
        </is>
      </c>
    </row>
    <row r="2">
      <c r="A2" s="4" t="inlineStr">
        <is>
          <t>Dirección creativa y diseño visual</t>
        </is>
      </c>
      <c r="B2" s="4" t="n">
        <v>28</v>
      </c>
      <c r="C2" s="4" t="n">
        <v>55</v>
      </c>
      <c r="D2" s="6" t="n">
        <v>1540</v>
      </c>
      <c r="E2" s="4" t="inlineStr">
        <is>
          <t>Pendiente</t>
        </is>
      </c>
      <c r="F2" s="4" t="inlineStr"/>
    </row>
    <row r="3">
      <c r="A3" s="4" t="inlineStr">
        <is>
          <t>Arquitectura de información y experiencia de usuario</t>
        </is>
      </c>
      <c r="B3" s="4" t="n">
        <v>18</v>
      </c>
      <c r="C3" s="4" t="n">
        <v>55</v>
      </c>
      <c r="D3" s="6" t="n">
        <v>990</v>
      </c>
      <c r="E3" s="4" t="inlineStr">
        <is>
          <t>Pendiente</t>
        </is>
      </c>
      <c r="F3" s="4" t="inlineStr"/>
    </row>
    <row r="4">
      <c r="A4" s="4" t="inlineStr">
        <is>
          <t>Desarrollo frontend a medida</t>
        </is>
      </c>
      <c r="B4" s="4" t="n">
        <v>72</v>
      </c>
      <c r="C4" s="4" t="n">
        <v>60</v>
      </c>
      <c r="D4" s="6" t="n">
        <v>4320</v>
      </c>
      <c r="E4" s="4" t="inlineStr">
        <is>
          <t>Pendiente</t>
        </is>
      </c>
      <c r="F4" s="4" t="inlineStr"/>
    </row>
    <row r="5">
      <c r="A5" s="4" t="inlineStr">
        <is>
          <t>Integración y maquetación de contenidos</t>
        </is>
      </c>
      <c r="B5" s="4" t="n">
        <v>64</v>
      </c>
      <c r="C5" s="4" t="n">
        <v>50</v>
      </c>
      <c r="D5" s="6" t="n">
        <v>3200</v>
      </c>
      <c r="E5" s="4" t="inlineStr">
        <is>
          <t>Pendiente</t>
        </is>
      </c>
      <c r="F5" s="4" t="inlineStr"/>
    </row>
    <row r="6">
      <c r="A6" s="4" t="inlineStr">
        <is>
          <t>Integraciones técnicas y lógica auxiliar</t>
        </is>
      </c>
      <c r="B6" s="4" t="n">
        <v>14</v>
      </c>
      <c r="C6" s="4" t="n">
        <v>60</v>
      </c>
      <c r="D6" s="6" t="n">
        <v>840</v>
      </c>
      <c r="E6" s="4" t="inlineStr">
        <is>
          <t>Pendiente</t>
        </is>
      </c>
      <c r="F6" s="4" t="inlineStr"/>
    </row>
    <row r="7">
      <c r="A7" s="4" t="inlineStr">
        <is>
          <t>QA, revisión y ajustes finales</t>
        </is>
      </c>
      <c r="B7" s="4" t="n">
        <v>18</v>
      </c>
      <c r="C7" s="4" t="n">
        <v>50</v>
      </c>
      <c r="D7" s="6" t="n">
        <v>900</v>
      </c>
      <c r="E7" s="4" t="inlineStr">
        <is>
          <t>Pendiente</t>
        </is>
      </c>
      <c r="F7" s="4" t="inlineStr"/>
    </row>
    <row r="8">
      <c r="A8" s="4" t="inlineStr">
        <is>
          <t>Publicación y puesta en producción</t>
        </is>
      </c>
      <c r="B8" s="4" t="n">
        <v>6</v>
      </c>
      <c r="C8" s="4" t="n">
        <v>60</v>
      </c>
      <c r="D8" s="6" t="n">
        <v>360</v>
      </c>
      <c r="E8" s="4" t="inlineStr">
        <is>
          <t>Pendiente</t>
        </is>
      </c>
      <c r="F8" s="4" t="inlineStr"/>
    </row>
    <row r="9">
      <c r="A9" s="4" t="inlineStr"/>
      <c r="B9" s="4" t="inlineStr"/>
      <c r="C9" s="4" t="inlineStr">
        <is>
          <t>Base imponible</t>
        </is>
      </c>
      <c r="D9" s="6">
        <f>SUM(D2:D8)</f>
        <v/>
      </c>
      <c r="E9" s="4" t="inlineStr"/>
      <c r="F9" s="4" t="inlineStr"/>
    </row>
    <row r="10">
      <c r="A10" s="4" t="inlineStr"/>
      <c r="B10" s="4" t="inlineStr"/>
      <c r="C10" s="4" t="inlineStr">
        <is>
          <t>IVA (21%)</t>
        </is>
      </c>
      <c r="D10" s="6">
        <f>D9*21%</f>
        <v/>
      </c>
      <c r="E10" s="4" t="inlineStr"/>
      <c r="F10" s="4" t="inlineStr"/>
    </row>
    <row r="11">
      <c r="A11" s="4" t="inlineStr"/>
      <c r="B11" s="4" t="inlineStr"/>
      <c r="C11" s="4" t="inlineStr">
        <is>
          <t>Total</t>
        </is>
      </c>
      <c r="D11" s="6">
        <f>D9+D10</f>
        <v/>
      </c>
      <c r="E11" s="4" t="inlineStr"/>
      <c r="F11" s="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2" customWidth="1" min="2" max="2"/>
    <col width="16" customWidth="1" min="3" max="3"/>
    <col width="16" customWidth="1" min="4" max="4"/>
    <col width="16" customWidth="1" min="5" max="5"/>
    <col width="14" customWidth="1" min="6" max="6"/>
  </cols>
  <sheetData>
    <row r="1">
      <c r="A1" s="2" t="inlineStr">
        <is>
          <t>Hito</t>
        </is>
      </c>
      <c r="B1" s="2" t="inlineStr">
        <is>
          <t>Porcentaje</t>
        </is>
      </c>
      <c r="C1" s="2" t="inlineStr">
        <is>
          <t>Importe €</t>
        </is>
      </c>
      <c r="D1" s="2" t="inlineStr">
        <is>
          <t>Fecha prevista</t>
        </is>
      </c>
      <c r="E1" s="2" t="inlineStr">
        <is>
          <t>Fecha cobro</t>
        </is>
      </c>
      <c r="F1" s="2" t="inlineStr">
        <is>
          <t>Estado</t>
        </is>
      </c>
    </row>
    <row r="2">
      <c r="A2" s="4" t="inlineStr">
        <is>
          <t>Inicio del proyecto</t>
        </is>
      </c>
      <c r="B2" s="9" t="n">
        <v>0.4</v>
      </c>
      <c r="C2" s="6">
        <f>Resumen!B9*B2</f>
        <v/>
      </c>
      <c r="D2" s="4" t="inlineStr"/>
      <c r="E2" s="4" t="inlineStr"/>
      <c r="F2" s="4" t="inlineStr">
        <is>
          <t>Pendiente</t>
        </is>
      </c>
    </row>
    <row r="3">
      <c r="A3" s="4" t="inlineStr">
        <is>
          <t>Validación de estructura y diseño</t>
        </is>
      </c>
      <c r="B3" s="9" t="n">
        <v>0.3</v>
      </c>
      <c r="C3" s="6">
        <f>Resumen!B9*B3</f>
        <v/>
      </c>
      <c r="D3" s="4" t="inlineStr"/>
      <c r="E3" s="4" t="inlineStr"/>
      <c r="F3" s="4" t="inlineStr">
        <is>
          <t>Pendiente</t>
        </is>
      </c>
    </row>
    <row r="4">
      <c r="A4" s="4" t="inlineStr">
        <is>
          <t>Entrega final / publicación</t>
        </is>
      </c>
      <c r="B4" s="9" t="n">
        <v>0.3</v>
      </c>
      <c r="C4" s="6">
        <f>Resumen!B9*B4</f>
        <v/>
      </c>
      <c r="D4" s="4" t="inlineStr"/>
      <c r="E4" s="4" t="inlineStr"/>
      <c r="F4" s="4" t="inlineStr">
        <is>
          <t>Pendiente</t>
        </is>
      </c>
    </row>
    <row r="5">
      <c r="A5" s="4" t="inlineStr">
        <is>
          <t>TOTAL</t>
        </is>
      </c>
      <c r="B5" s="9" t="inlineStr"/>
      <c r="C5" s="6">
        <f>SUM(C2:C4)</f>
        <v/>
      </c>
      <c r="D5" s="4" t="inlineStr"/>
      <c r="E5" s="4" t="inlineStr"/>
      <c r="F5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2026-03-11T09:10:24Z</dcterms:created>
  <dcterms:modified xmlns:dcterms="http://purl.org/dc/terms/" xmlns:xsi="http://www.w3.org/2001/XMLSchema-instance" xsi:type="dcterms:W3CDTF">2026-03-11T09:10:24Z</dcterms:modified>
</cp:coreProperties>
</file>